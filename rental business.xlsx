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ntal_app\"/>
    </mc:Choice>
  </mc:AlternateContent>
  <xr:revisionPtr revIDLastSave="0" documentId="13_ncr:1_{912E6CBB-6E89-4167-99A4-3EAE2CA2D452}" xr6:coauthVersionLast="47" xr6:coauthVersionMax="47" xr10:uidLastSave="{00000000-0000-0000-0000-000000000000}"/>
  <bookViews>
    <workbookView xWindow="-108" yWindow="-108" windowWidth="23256" windowHeight="12456" activeTab="1" xr2:uid="{03795B3E-579F-4562-A064-08E38ADEBC02}"/>
  </bookViews>
  <sheets>
    <sheet name="Rental Deals Sheet" sheetId="1" r:id="rId1"/>
    <sheet name="Fleet Master" sheetId="2" r:id="rId2"/>
    <sheet name="Landing P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J6" i="2"/>
  <c r="K6" i="2" s="1"/>
  <c r="J4" i="2"/>
  <c r="J5" i="2"/>
  <c r="I5" i="2"/>
  <c r="G5" i="2" s="1"/>
  <c r="I4" i="2"/>
  <c r="G4" i="2" s="1"/>
  <c r="J3" i="2"/>
  <c r="I3" i="2"/>
  <c r="G3" i="2" s="1"/>
  <c r="G6" i="2"/>
  <c r="G7" i="2"/>
  <c r="K7" i="2" s="1"/>
  <c r="G8" i="2"/>
  <c r="K8" i="2" s="1"/>
  <c r="G9" i="2"/>
  <c r="J2" i="2"/>
  <c r="C3" i="3"/>
  <c r="C5" i="3" s="1"/>
  <c r="I2" i="2"/>
  <c r="G2" i="2" s="1"/>
  <c r="Q6" i="1"/>
  <c r="Q7" i="1"/>
  <c r="Q3" i="1"/>
  <c r="Q4" i="1"/>
  <c r="Q5" i="1"/>
  <c r="K9" i="2"/>
  <c r="Q2" i="1"/>
  <c r="G3" i="1"/>
  <c r="K3" i="1" s="1"/>
  <c r="G4" i="1"/>
  <c r="K4" i="1" s="1"/>
  <c r="G5" i="1"/>
  <c r="K5" i="1" s="1"/>
  <c r="G2" i="1"/>
  <c r="K2" i="1" s="1"/>
  <c r="K4" i="2" l="1"/>
  <c r="K3" i="2"/>
  <c r="K5" i="2"/>
  <c r="K2" i="2"/>
  <c r="D11" i="3" l="1" a="1"/>
  <c r="D11" i="3" s="1"/>
  <c r="E11" i="3" a="1"/>
  <c r="E11" i="3" s="1"/>
  <c r="A11" i="3" a="1"/>
  <c r="A11" i="3" s="1"/>
  <c r="B11" i="3" a="1"/>
  <c r="B11" i="3" s="1"/>
  <c r="C11" i="3" a="1"/>
  <c r="C11" i="3" s="1"/>
  <c r="F11" i="3" l="1" a="1"/>
  <c r="F11" i="3" s="1"/>
  <c r="F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<sst xmlns="http://schemas.openxmlformats.org/spreadsheetml/2006/main" count="134" uniqueCount="103">
  <si>
    <t>Car ID</t>
  </si>
  <si>
    <t>Make/Model</t>
  </si>
  <si>
    <t>Year</t>
  </si>
  <si>
    <t>License Plate</t>
  </si>
  <si>
    <t>Color</t>
  </si>
  <si>
    <t>Current Mileage</t>
  </si>
  <si>
    <t>Status</t>
  </si>
  <si>
    <t>Current Deal ID</t>
  </si>
  <si>
    <t>Rental Start Date</t>
  </si>
  <si>
    <t>Expected Return Date</t>
  </si>
  <si>
    <t>Next Available Date</t>
  </si>
  <si>
    <t>Location</t>
  </si>
  <si>
    <t>Notes</t>
  </si>
  <si>
    <t>C001</t>
  </si>
  <si>
    <t>RENT-202606-001</t>
  </si>
  <si>
    <t>C002</t>
  </si>
  <si>
    <t>Airport</t>
  </si>
  <si>
    <t>C003</t>
  </si>
  <si>
    <t>Maintenance</t>
  </si>
  <si>
    <t>C004</t>
  </si>
  <si>
    <t>RENT-202606-002</t>
  </si>
  <si>
    <t>C005</t>
  </si>
  <si>
    <t>C006</t>
  </si>
  <si>
    <t>RENT-202606-003</t>
  </si>
  <si>
    <t>C007</t>
  </si>
  <si>
    <t>C008</t>
  </si>
  <si>
    <t>Base Daily Rate ($)</t>
  </si>
  <si>
    <t>Deal ID</t>
  </si>
  <si>
    <t>Client Name</t>
  </si>
  <si>
    <t>Phone/WhatsApp</t>
  </si>
  <si>
    <t>ID/Passport</t>
  </si>
  <si>
    <t>Rental End Date</t>
  </si>
  <si>
    <t>Rental Days</t>
  </si>
  <si>
    <t>Daily Rate</t>
  </si>
  <si>
    <t>Total Amount</t>
  </si>
  <si>
    <t>Deposit</t>
  </si>
  <si>
    <t>Payment Status</t>
  </si>
  <si>
    <t>Overdue Days</t>
  </si>
  <si>
    <t>Contract Signed</t>
  </si>
  <si>
    <t>Return Condition Notes</t>
  </si>
  <si>
    <t>Car Make/Model</t>
  </si>
  <si>
    <t>Car Status Link</t>
  </si>
  <si>
    <t>Ahmed Al-Sayed</t>
  </si>
  <si>
    <t>A123456</t>
  </si>
  <si>
    <t>Paid</t>
  </si>
  <si>
    <t>Yes</t>
  </si>
  <si>
    <t>Extended clear</t>
  </si>
  <si>
    <t>Maria Lopez</t>
  </si>
  <si>
    <t>X987654</t>
  </si>
  <si>
    <t>Partial</t>
  </si>
  <si>
    <t>Local contract</t>
  </si>
  <si>
    <t>Timur Ivanov</t>
  </si>
  <si>
    <t>AN98123</t>
  </si>
  <si>
    <t>Pending</t>
  </si>
  <si>
    <t>Pre-authorized</t>
  </si>
  <si>
    <t>RENT-202606-004</t>
  </si>
  <si>
    <t>John Doe</t>
  </si>
  <si>
    <t>DL44112</t>
  </si>
  <si>
    <t>Returned early</t>
  </si>
  <si>
    <t>+355689464671</t>
  </si>
  <si>
    <t>Time of Rental</t>
  </si>
  <si>
    <t>09:00 P.M</t>
  </si>
  <si>
    <t>FRONT DESK: VEHICLE AVAILABILITY CHECKER</t>
  </si>
  <si>
    <t>AVAILABLE VEHICLES:</t>
  </si>
  <si>
    <t>Expected Return:</t>
  </si>
  <si>
    <t>Model/Mark</t>
  </si>
  <si>
    <t>Number Plate</t>
  </si>
  <si>
    <t>Price / Day</t>
  </si>
  <si>
    <t>Start Date:</t>
  </si>
  <si>
    <t>No. of Days:</t>
  </si>
  <si>
    <t>Total Price</t>
  </si>
  <si>
    <t>Override Status</t>
  </si>
  <si>
    <t>Maintenance Costs</t>
  </si>
  <si>
    <t>Country</t>
  </si>
  <si>
    <t>AB069 OL</t>
  </si>
  <si>
    <t>FÜME</t>
  </si>
  <si>
    <t>-</t>
  </si>
  <si>
    <t>Jetta SA</t>
  </si>
  <si>
    <t>AB853 SA</t>
  </si>
  <si>
    <t>GRI</t>
  </si>
  <si>
    <t>AB027UH</t>
  </si>
  <si>
    <t>BEYAZ</t>
  </si>
  <si>
    <t>Tiquan</t>
  </si>
  <si>
    <t>Polo</t>
  </si>
  <si>
    <t>AB034UH</t>
  </si>
  <si>
    <t>SİYAH</t>
  </si>
  <si>
    <t>Toura 6Ri</t>
  </si>
  <si>
    <t>AB-KE</t>
  </si>
  <si>
    <t>C009</t>
  </si>
  <si>
    <t>C010</t>
  </si>
  <si>
    <t>C011</t>
  </si>
  <si>
    <t>C012</t>
  </si>
  <si>
    <t>C013</t>
  </si>
  <si>
    <t>C014</t>
  </si>
  <si>
    <t>C015</t>
  </si>
  <si>
    <t>AB992PD</t>
  </si>
  <si>
    <t>KAHVE</t>
  </si>
  <si>
    <t>Opel (Manual)</t>
  </si>
  <si>
    <t>Touran 7Person</t>
  </si>
  <si>
    <t>AB-GF</t>
  </si>
  <si>
    <t>AB-ZR</t>
  </si>
  <si>
    <t>MAVİ</t>
  </si>
  <si>
    <t>Jetta 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</si>
</sst>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€-2]\ #,##0.00"/>
    <numFmt numFmtId="166" formatCode="#,##0.00\ [$Lekë-41C]"/>
  </numFmts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sz val="10"/>
      <color rgb="FF1F1F1F"/>
      <name val="Arial"/>
      <family val="2"/>
    </font>
    <font>
      <sz val="20"/>
      <color theme="1"/>
      <name val="Calibri"/>
      <family val="2"/>
      <scheme val="minor"/>
    </font>
    <font>
      <sz val="16"/>
      <color theme="1"/>
      <name val="Bahnschrift SemiBold"/>
      <family val="2"/>
    </font>
    <font>
      <b/>
      <sz val="14"/>
      <color theme="0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  <xf numFmtId="0" fontId="0" fillId="0" borderId="0" xfId="0" applyNumberFormat="1"/>
    <xf numFmtId="0" fontId="4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4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5" fillId="0" borderId="0" xfId="0" applyFont="1"/>
    <xf numFmtId="0" fontId="10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7D83-C69E-4559-B053-FFCD5CF20CB2}">
  <dimension ref="A1:S32"/>
  <sheetViews>
    <sheetView zoomScale="109" workbookViewId="0">
      <selection activeCell="S1" sqref="S1"/>
    </sheetView>
  </sheetViews>
  <sheetFormatPr defaultRowHeight="14.4"/>
  <cols>
    <col min="1" max="1" width="15.88671875" bestFit="1" customWidth="1"/>
    <col min="2" max="2" width="14.88671875" bestFit="1" customWidth="1"/>
    <col min="3" max="3" width="15.33203125" bestFit="1" customWidth="1"/>
    <col min="4" max="4" width="11.88671875" bestFit="1" customWidth="1"/>
    <col min="5" max="5" width="20" customWidth="1"/>
    <col min="6" max="6" width="24.109375" customWidth="1"/>
    <col min="7" max="7" width="12.44140625" bestFit="1" customWidth="1"/>
    <col min="8" max="8" width="13.109375" bestFit="1" customWidth="1"/>
    <col min="9" max="9" width="15.88671875" bestFit="1" customWidth="1"/>
    <col min="10" max="10" width="15" bestFit="1" customWidth="1"/>
    <col min="11" max="12" width="18.88671875" bestFit="1" customWidth="1"/>
    <col min="13" max="13" width="10" bestFit="1" customWidth="1"/>
    <col min="14" max="14" width="31.77734375" customWidth="1"/>
    <col min="15" max="15" width="25.44140625" customWidth="1"/>
    <col min="16" max="16" width="20.33203125" bestFit="1" customWidth="1"/>
    <col min="17" max="17" width="23.88671875" customWidth="1"/>
    <col min="18" max="18" width="17.6640625" customWidth="1"/>
  </cols>
  <sheetData>
    <row r="1" spans="1:19">
      <c r="A1" t="s">
        <v>27</v>
      </c>
      <c r="B1" t="s">
        <v>28</v>
      </c>
      <c r="C1" t="s">
        <v>29</v>
      </c>
      <c r="D1" t="s">
        <v>30</v>
      </c>
      <c r="E1" t="s">
        <v>8</v>
      </c>
      <c r="F1" t="s">
        <v>31</v>
      </c>
      <c r="G1" t="s">
        <v>32</v>
      </c>
      <c r="H1" t="s">
        <v>60</v>
      </c>
      <c r="I1" t="s">
        <v>0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73</v>
      </c>
    </row>
    <row r="2" spans="1:19">
      <c r="A2" t="s">
        <v>14</v>
      </c>
      <c r="B2" t="s">
        <v>42</v>
      </c>
      <c r="C2" s="7" t="s">
        <v>59</v>
      </c>
      <c r="D2" t="s">
        <v>43</v>
      </c>
      <c r="E2" s="3">
        <v>46178</v>
      </c>
      <c r="F2" s="3">
        <v>46199</v>
      </c>
      <c r="G2">
        <f>IF(AND(ISNUMBER(E2), ISNUMBER(F2)), F2 - E2, "")</f>
        <v>21</v>
      </c>
      <c r="H2" t="s">
        <v>61</v>
      </c>
      <c r="I2" t="s">
        <v>24</v>
      </c>
      <c r="J2" s="5">
        <v>2500</v>
      </c>
      <c r="K2" s="5">
        <f>IFERROR(IF(G2&lt;&gt;"", J2 * G2, ""), "")</f>
        <v>52500</v>
      </c>
      <c r="L2" s="4">
        <v>500</v>
      </c>
      <c r="M2" t="s">
        <v>44</v>
      </c>
      <c r="O2" t="s">
        <v>45</v>
      </c>
      <c r="P2" t="s">
        <v>46</v>
      </c>
      <c r="Q2" s="8" t="str">
        <f>IFERROR(_xlfn.XLOOKUP(I2, 'Fleet Master'!$A:$A, 'Fleet Master'!$B:$B, "Unknown Vehicle"), "")</f>
        <v>Touran 7Person</v>
      </c>
    </row>
    <row r="3" spans="1:19">
      <c r="A3" t="s">
        <v>20</v>
      </c>
      <c r="B3" t="s">
        <v>47</v>
      </c>
      <c r="C3" s="7" t="s">
        <v>59</v>
      </c>
      <c r="D3" t="s">
        <v>48</v>
      </c>
      <c r="E3" s="3">
        <v>46188</v>
      </c>
      <c r="F3" s="3">
        <v>46198</v>
      </c>
      <c r="G3">
        <f t="shared" ref="G3:G5" si="0">IF(AND(ISNUMBER(E3), ISNUMBER(F3)), F3 - E3, "")</f>
        <v>10</v>
      </c>
      <c r="H3" t="s">
        <v>61</v>
      </c>
      <c r="I3" t="s">
        <v>19</v>
      </c>
      <c r="J3" s="5"/>
      <c r="K3" s="5">
        <f t="shared" ref="K3:K5" si="1">IFERROR(IF(G3&lt;&gt;"", J3 * G3, ""), "")</f>
        <v>0</v>
      </c>
      <c r="L3" s="4">
        <v>500</v>
      </c>
      <c r="M3" t="s">
        <v>49</v>
      </c>
      <c r="O3" t="s">
        <v>45</v>
      </c>
      <c r="P3" t="s">
        <v>50</v>
      </c>
      <c r="Q3" s="8" t="str">
        <f>IFERROR(_xlfn.XLOOKUP(I3, 'Fleet Master'!$A:$A, 'Fleet Master'!$B:$B, "Unknown Vehicle"), "")</f>
        <v>Tiquan</v>
      </c>
    </row>
    <row r="4" spans="1:19">
      <c r="A4" t="s">
        <v>23</v>
      </c>
      <c r="B4" t="s">
        <v>51</v>
      </c>
      <c r="C4" s="7" t="s">
        <v>59</v>
      </c>
      <c r="D4" t="s">
        <v>52</v>
      </c>
      <c r="E4" s="3">
        <v>46192</v>
      </c>
      <c r="F4" s="3">
        <v>46197</v>
      </c>
      <c r="G4">
        <f t="shared" si="0"/>
        <v>5</v>
      </c>
      <c r="H4" t="s">
        <v>61</v>
      </c>
      <c r="I4" t="s">
        <v>22</v>
      </c>
      <c r="J4" s="5"/>
      <c r="K4" s="5">
        <f t="shared" si="1"/>
        <v>0</v>
      </c>
      <c r="L4" s="4">
        <v>500</v>
      </c>
      <c r="M4" t="s">
        <v>53</v>
      </c>
      <c r="O4" t="s">
        <v>45</v>
      </c>
      <c r="P4" t="s">
        <v>54</v>
      </c>
      <c r="Q4" s="8" t="str">
        <f>IFERROR(_xlfn.XLOOKUP(I4, 'Fleet Master'!$A:$A, 'Fleet Master'!$B:$B, "Unknown Vehicle"), "")</f>
        <v>Opel (Manual)</v>
      </c>
    </row>
    <row r="5" spans="1:19">
      <c r="A5" t="s">
        <v>55</v>
      </c>
      <c r="B5" t="s">
        <v>56</v>
      </c>
      <c r="C5" s="7" t="s">
        <v>59</v>
      </c>
      <c r="D5" t="s">
        <v>57</v>
      </c>
      <c r="E5" s="3">
        <v>46174</v>
      </c>
      <c r="F5" s="3">
        <v>46183</v>
      </c>
      <c r="G5">
        <f t="shared" si="0"/>
        <v>9</v>
      </c>
      <c r="H5" t="s">
        <v>61</v>
      </c>
      <c r="I5" t="s">
        <v>25</v>
      </c>
      <c r="J5" s="5"/>
      <c r="K5" s="5">
        <f t="shared" si="1"/>
        <v>0</v>
      </c>
      <c r="L5" s="4">
        <v>500</v>
      </c>
      <c r="M5" t="s">
        <v>44</v>
      </c>
      <c r="O5" t="s">
        <v>45</v>
      </c>
      <c r="P5" t="s">
        <v>58</v>
      </c>
      <c r="Q5" s="8" t="str">
        <f>IFERROR(_xlfn.XLOOKUP(I5, 'Fleet Master'!$A:$A, 'Fleet Master'!$B:$B, "Unknown Vehicle"), "")</f>
        <v>Touran 7Person</v>
      </c>
    </row>
    <row r="6" spans="1:19">
      <c r="C6" s="6"/>
      <c r="J6" s="5"/>
      <c r="K6" s="3"/>
      <c r="Q6" s="8">
        <f>IFERROR(_xlfn.XLOOKUP(I6, 'Fleet Master'!$A:$A, 'Fleet Master'!$B:$B, "Unknown Vehicle"), "")</f>
        <v>0</v>
      </c>
    </row>
    <row r="7" spans="1:19">
      <c r="A7" s="2"/>
      <c r="C7" s="6"/>
      <c r="J7" s="5"/>
      <c r="K7" s="3"/>
      <c r="Q7" s="8">
        <f>IFERROR(_xlfn.XLOOKUP(I7, 'Fleet Master'!$A:$A, 'Fleet Master'!$B:$B, "Unknown Vehicle"), "")</f>
        <v>0</v>
      </c>
    </row>
    <row r="8" spans="1:19">
      <c r="A8" s="1"/>
      <c r="C8" s="6"/>
      <c r="K8" s="3"/>
      <c r="Q8" s="8"/>
    </row>
    <row r="9" spans="1:19">
      <c r="A9" s="2"/>
      <c r="C9" s="6"/>
      <c r="K9" s="3"/>
      <c r="Q9" s="8"/>
    </row>
    <row r="10" spans="1:19">
      <c r="A10" s="1"/>
      <c r="C10" s="6"/>
    </row>
    <row r="11" spans="1:19">
      <c r="A11" s="2"/>
      <c r="C11" s="6"/>
    </row>
    <row r="12" spans="1:19">
      <c r="A12" s="2"/>
      <c r="C12" s="6"/>
    </row>
    <row r="13" spans="1:19">
      <c r="A13" s="1"/>
      <c r="C13" s="6"/>
    </row>
    <row r="14" spans="1:19">
      <c r="A14" s="2"/>
      <c r="C14" s="6"/>
    </row>
    <row r="15" spans="1:19">
      <c r="A15" s="2"/>
      <c r="C15" s="6"/>
    </row>
    <row r="16" spans="1:19">
      <c r="A16" s="2"/>
      <c r="C16" s="6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1"/>
    </row>
    <row r="29" spans="1:1">
      <c r="A29" s="2"/>
    </row>
    <row r="30" spans="1:1">
      <c r="A30" s="2"/>
    </row>
    <row r="31" spans="1:1">
      <c r="A31" s="2"/>
    </row>
    <row r="32" spans="1:1">
      <c r="A32" s="2"/>
    </row>
  </sheetData>
  <pageMargins left="0.7" right="0.7" top="0.75" bottom="0.75" header="0.3" footer="0.3"/>
  <ignoredErrors>
    <ignoredError sqref="C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7E70A5-DC5A-4A4D-889B-7D9E793A97DA}">
          <x14:formula1>
            <xm:f>'Fleet Master'!$A$2:$A$80</xm:f>
          </x14:formula1>
          <xm:sqref>I2:I29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F8ED-AEEE-401C-B346-FB231EC9AFB7}">
  <dimension ref="A1:R18"/>
  <sheetViews>
    <sheetView tabSelected="1" zoomScale="144" zoomScaleNormal="144" workbookViewId="0">
      <selection activeCell="B2" sqref="B2"/>
    </sheetView>
  </sheetViews>
  <sheetFormatPr defaultRowHeight="14.4"/>
  <cols>
    <col min="1" max="1" width="6" style="18" bestFit="1" customWidth="1"/>
    <col min="2" max="2" width="14.88671875" style="18" bestFit="1" customWidth="1"/>
    <col min="3" max="3" width="5" style="18" bestFit="1" customWidth="1"/>
    <col min="4" max="4" width="16.109375" style="18" customWidth="1"/>
    <col min="5" max="5" width="8.21875" style="18" bestFit="1" customWidth="1"/>
    <col min="6" max="6" width="14.5546875" style="18" bestFit="1" customWidth="1"/>
    <col min="7" max="7" width="12.44140625" style="18" bestFit="1" customWidth="1"/>
    <col min="8" max="8" width="15.88671875" style="18" bestFit="1" customWidth="1"/>
    <col min="9" max="9" width="15.21875" style="18" bestFit="1" customWidth="1"/>
    <col min="10" max="10" width="19.33203125" style="18" bestFit="1" customWidth="1"/>
    <col min="11" max="11" width="22.88671875" style="18" bestFit="1" customWidth="1"/>
    <col min="12" max="12" width="10.109375" style="18" bestFit="1" customWidth="1"/>
    <col min="13" max="13" width="16.5546875" style="18" bestFit="1" customWidth="1"/>
    <col min="14" max="14" width="16.77734375" style="18" bestFit="1" customWidth="1"/>
    <col min="15" max="15" width="21.109375" style="18" customWidth="1"/>
    <col min="16" max="16" width="13.6640625" style="18" customWidth="1"/>
    <col min="17" max="17" width="8.88671875" style="18"/>
    <col min="18" max="18" width="11.6640625" style="18" bestFit="1" customWidth="1"/>
    <col min="19" max="16384" width="8.88671875" style="18"/>
  </cols>
  <sheetData>
    <row r="1" spans="1:18" s="16" customFormat="1" ht="29.4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26</v>
      </c>
      <c r="N1" s="16" t="s">
        <v>12</v>
      </c>
      <c r="O1" s="16" t="s">
        <v>71</v>
      </c>
      <c r="P1" s="16" t="s">
        <v>72</v>
      </c>
    </row>
    <row r="2" spans="1:18">
      <c r="A2" s="17" t="s">
        <v>13</v>
      </c>
      <c r="B2" s="18" t="s">
        <v>102</v>
      </c>
      <c r="C2" s="18">
        <v>2012</v>
      </c>
      <c r="D2" s="18" t="s">
        <v>74</v>
      </c>
      <c r="E2" s="18" t="s">
        <v>75</v>
      </c>
      <c r="F2" s="25">
        <v>0</v>
      </c>
      <c r="G2" s="24" t="str">
        <f t="shared" ref="G2:G10" ca="1" si="0">IF(O2="Maintenance", "Maintenance", IF(O2="Out of Service", "Out of Service", IF(I2="", "Available", "Rented")))</f>
        <v>Rented</v>
      </c>
      <c r="I2" s="19">
        <f ca="1">TODAY()</f>
        <v>46191</v>
      </c>
      <c r="J2" s="19">
        <f ca="1">TODAY()+6</f>
        <v>46197</v>
      </c>
      <c r="K2" s="20">
        <f ca="1">IF(G2="Rented", IF(ISNUMBER(J2), J2+1, TODAY()), TODAY())</f>
        <v>46198</v>
      </c>
      <c r="L2" s="18" t="s">
        <v>16</v>
      </c>
      <c r="M2" s="21">
        <v>30</v>
      </c>
      <c r="N2" s="18" t="s">
        <v>76</v>
      </c>
      <c r="R2" s="18" t="s">
        <v>18</v>
      </c>
    </row>
    <row r="3" spans="1:18">
      <c r="A3" s="17" t="s">
        <v>15</v>
      </c>
      <c r="B3" s="18" t="s">
        <v>77</v>
      </c>
      <c r="C3" s="18">
        <v>2012</v>
      </c>
      <c r="D3" s="18" t="s">
        <v>78</v>
      </c>
      <c r="E3" s="18" t="s">
        <v>79</v>
      </c>
      <c r="F3" s="25">
        <v>0</v>
      </c>
      <c r="G3" s="24" t="str">
        <f t="shared" ca="1" si="0"/>
        <v>Rented</v>
      </c>
      <c r="I3" s="19">
        <f ca="1">TODAY()</f>
        <v>46191</v>
      </c>
      <c r="J3" s="19">
        <f ca="1">TODAY()+6</f>
        <v>46197</v>
      </c>
      <c r="K3" s="20">
        <f t="shared" ref="K3:K9" ca="1" si="1">IF(G3="Rented", IF(ISNUMBER(J3), J3+1, TODAY()), TODAY())</f>
        <v>46198</v>
      </c>
      <c r="L3" s="18" t="s">
        <v>16</v>
      </c>
      <c r="M3" s="21">
        <v>30</v>
      </c>
    </row>
    <row r="4" spans="1:18">
      <c r="A4" s="17" t="s">
        <v>17</v>
      </c>
      <c r="B4" s="18" t="s">
        <v>83</v>
      </c>
      <c r="C4" s="18">
        <v>2012</v>
      </c>
      <c r="D4" s="18" t="s">
        <v>80</v>
      </c>
      <c r="E4" s="18" t="s">
        <v>81</v>
      </c>
      <c r="F4" s="25"/>
      <c r="G4" s="24" t="str">
        <f t="shared" ca="1" si="0"/>
        <v>Rented</v>
      </c>
      <c r="I4" s="19">
        <f ca="1">TODAY()</f>
        <v>46191</v>
      </c>
      <c r="J4" s="19">
        <f ca="1">TODAY()+4</f>
        <v>46195</v>
      </c>
      <c r="K4" s="20">
        <f t="shared" ca="1" si="1"/>
        <v>46196</v>
      </c>
      <c r="L4" s="18" t="s">
        <v>16</v>
      </c>
      <c r="M4" s="21">
        <v>30</v>
      </c>
    </row>
    <row r="5" spans="1:18">
      <c r="A5" s="17" t="s">
        <v>19</v>
      </c>
      <c r="B5" s="18" t="s">
        <v>82</v>
      </c>
      <c r="C5" s="18">
        <v>2009</v>
      </c>
      <c r="D5" s="18" t="s">
        <v>84</v>
      </c>
      <c r="E5" s="18" t="s">
        <v>85</v>
      </c>
      <c r="F5" s="25">
        <v>0</v>
      </c>
      <c r="G5" s="24" t="str">
        <f t="shared" ca="1" si="0"/>
        <v>Rented</v>
      </c>
      <c r="I5" s="19">
        <f ca="1">TODAY()</f>
        <v>46191</v>
      </c>
      <c r="J5" s="19">
        <f ca="1">TODAY()+6</f>
        <v>46197</v>
      </c>
      <c r="K5" s="20">
        <f t="shared" ca="1" si="1"/>
        <v>46198</v>
      </c>
      <c r="L5" s="18" t="s">
        <v>16</v>
      </c>
      <c r="M5" s="21">
        <v>30</v>
      </c>
    </row>
    <row r="6" spans="1:18">
      <c r="A6" s="17" t="s">
        <v>21</v>
      </c>
      <c r="B6" s="18" t="s">
        <v>86</v>
      </c>
      <c r="C6" s="18">
        <v>2006</v>
      </c>
      <c r="D6" s="18" t="s">
        <v>87</v>
      </c>
      <c r="E6" s="18" t="s">
        <v>75</v>
      </c>
      <c r="F6" s="25"/>
      <c r="G6" s="24" t="str">
        <f t="shared" si="0"/>
        <v>Rented</v>
      </c>
      <c r="I6" s="19">
        <v>46191</v>
      </c>
      <c r="J6" s="19">
        <f ca="1">TODAY()+1</f>
        <v>46192</v>
      </c>
      <c r="K6" s="20">
        <f t="shared" ca="1" si="1"/>
        <v>46193</v>
      </c>
      <c r="L6" s="18" t="s">
        <v>16</v>
      </c>
      <c r="M6" s="21">
        <v>40</v>
      </c>
    </row>
    <row r="7" spans="1:18">
      <c r="A7" s="17" t="s">
        <v>22</v>
      </c>
      <c r="B7" s="18" t="s">
        <v>97</v>
      </c>
      <c r="C7" s="18">
        <v>2015</v>
      </c>
      <c r="D7" s="18" t="s">
        <v>95</v>
      </c>
      <c r="E7" s="18" t="s">
        <v>96</v>
      </c>
      <c r="F7" s="25">
        <v>0</v>
      </c>
      <c r="G7" s="24" t="str">
        <f t="shared" si="0"/>
        <v>Rented</v>
      </c>
      <c r="I7" s="19">
        <v>46193</v>
      </c>
      <c r="J7" s="19">
        <v>46193</v>
      </c>
      <c r="K7" s="20">
        <f t="shared" ca="1" si="1"/>
        <v>46194</v>
      </c>
      <c r="L7" s="18" t="s">
        <v>16</v>
      </c>
      <c r="M7" s="21">
        <v>40</v>
      </c>
    </row>
    <row r="8" spans="1:18">
      <c r="A8" s="17" t="s">
        <v>24</v>
      </c>
      <c r="B8" s="18" t="s">
        <v>98</v>
      </c>
      <c r="C8" s="18">
        <v>2006</v>
      </c>
      <c r="D8" s="18" t="s">
        <v>99</v>
      </c>
      <c r="E8" s="18" t="s">
        <v>85</v>
      </c>
      <c r="F8" s="25"/>
      <c r="G8" s="24" t="str">
        <f t="shared" si="0"/>
        <v>Available</v>
      </c>
      <c r="J8" s="19">
        <v>46193</v>
      </c>
      <c r="K8" s="20">
        <f t="shared" ca="1" si="1"/>
        <v>46191</v>
      </c>
      <c r="L8" s="18" t="s">
        <v>16</v>
      </c>
      <c r="M8" s="21">
        <v>40</v>
      </c>
    </row>
    <row r="9" spans="1:18">
      <c r="A9" s="17" t="s">
        <v>25</v>
      </c>
      <c r="B9" s="18" t="s">
        <v>98</v>
      </c>
      <c r="C9" s="18">
        <v>2008</v>
      </c>
      <c r="D9" s="18" t="s">
        <v>99</v>
      </c>
      <c r="E9" s="18" t="s">
        <v>85</v>
      </c>
      <c r="F9" s="25">
        <v>0</v>
      </c>
      <c r="G9" s="24" t="str">
        <f t="shared" si="0"/>
        <v>Available</v>
      </c>
      <c r="J9" s="19">
        <v>46193</v>
      </c>
      <c r="K9" s="20">
        <f t="shared" ca="1" si="1"/>
        <v>46191</v>
      </c>
      <c r="L9" s="18" t="s">
        <v>16</v>
      </c>
      <c r="M9" s="21">
        <v>40</v>
      </c>
    </row>
    <row r="10" spans="1:18">
      <c r="A10" s="17" t="s">
        <v>88</v>
      </c>
      <c r="B10" s="18" t="s">
        <v>98</v>
      </c>
      <c r="C10" s="18">
        <v>2008</v>
      </c>
      <c r="D10" s="18" t="s">
        <v>100</v>
      </c>
      <c r="E10" s="18" t="s">
        <v>101</v>
      </c>
      <c r="F10" s="18">
        <v>0</v>
      </c>
      <c r="G10" s="24" t="str">
        <f t="shared" si="0"/>
        <v>Available</v>
      </c>
      <c r="M10" s="21"/>
    </row>
    <row r="11" spans="1:18">
      <c r="A11" s="17" t="s">
        <v>89</v>
      </c>
    </row>
    <row r="12" spans="1:18">
      <c r="A12" s="17" t="s">
        <v>90</v>
      </c>
    </row>
    <row r="13" spans="1:18">
      <c r="A13" s="17" t="s">
        <v>91</v>
      </c>
    </row>
    <row r="14" spans="1:18">
      <c r="A14" s="17" t="s">
        <v>92</v>
      </c>
    </row>
    <row r="15" spans="1:18">
      <c r="A15" s="17" t="s">
        <v>93</v>
      </c>
    </row>
    <row r="16" spans="1:18">
      <c r="A16" s="17" t="s">
        <v>94</v>
      </c>
    </row>
    <row r="17" spans="1:1">
      <c r="A17" s="17"/>
    </row>
    <row r="18" spans="1:1">
      <c r="A18" s="17"/>
    </row>
  </sheetData>
  <phoneticPr fontId="11" type="noConversion"/>
  <pageMargins left="0.7" right="0.7" top="0.75" bottom="0.75" header="0.3" footer="0.3"/>
  <ignoredErrors>
    <ignoredError sqref="J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64E7-918C-4727-A129-4F8C502993A4}">
  <dimension ref="A1:F47"/>
  <sheetViews>
    <sheetView zoomScale="91" zoomScaleNormal="97" zoomScaleSheetLayoutView="72" workbookViewId="0">
      <selection activeCell="B11" sqref="B11:F16"/>
    </sheetView>
  </sheetViews>
  <sheetFormatPr defaultRowHeight="14.4"/>
  <cols>
    <col min="1" max="1" width="17" style="9" customWidth="1"/>
    <col min="2" max="2" width="27.109375" bestFit="1" customWidth="1"/>
    <col min="3" max="3" width="33.109375" bestFit="1" customWidth="1"/>
    <col min="4" max="4" width="28.109375" customWidth="1"/>
    <col min="5" max="5" width="32.5546875" bestFit="1" customWidth="1"/>
    <col min="6" max="6" width="17.6640625" customWidth="1"/>
  </cols>
  <sheetData>
    <row r="1" spans="1:6" ht="18">
      <c r="A1" s="26" t="s">
        <v>62</v>
      </c>
      <c r="B1" s="26"/>
      <c r="C1" s="26"/>
      <c r="D1" s="26"/>
      <c r="E1" s="26"/>
      <c r="F1" s="26"/>
    </row>
    <row r="3" spans="1:6" ht="33.6">
      <c r="B3" s="10" t="s">
        <v>68</v>
      </c>
      <c r="C3" s="11">
        <f ca="1">TODAY()+11</f>
        <v>46202</v>
      </c>
      <c r="E3" s="10" t="s">
        <v>63</v>
      </c>
      <c r="F3" s="15">
        <f ca="1">IF(A11="No Cars Available", 0, COUNTIF(A11:A100, "?*"))</f>
        <v>15</v>
      </c>
    </row>
    <row r="4" spans="1:6" ht="22.2">
      <c r="B4" s="10" t="s">
        <v>69</v>
      </c>
      <c r="C4" s="12">
        <v>5</v>
      </c>
    </row>
    <row r="5" spans="1:6" ht="22.2">
      <c r="B5" s="10" t="s">
        <v>64</v>
      </c>
      <c r="C5" s="13">
        <f ca="1">IF(AND(ISNUMBER(C3), ISNUMBER(C4)), C3 + C4, "")</f>
        <v>46207</v>
      </c>
    </row>
    <row r="10" spans="1:6" s="22" customFormat="1" ht="28.8" customHeight="1">
      <c r="A10" s="23" t="s">
        <v>0</v>
      </c>
      <c r="B10" s="23" t="s">
        <v>65</v>
      </c>
      <c r="C10" s="23" t="s">
        <v>4</v>
      </c>
      <c r="D10" s="23" t="s">
        <v>66</v>
      </c>
      <c r="E10" s="23" t="s">
        <v>67</v>
      </c>
      <c r="F10" s="23" t="s">
        <v>70</v>
      </c>
    </row>
    <row r="11" spans="1:6" ht="25.8">
      <c r="A11" s="14" t="str" cm="1">
        <f t="array" aca="1" ref="A11:A25" ca="1">IF($C$3="", _xlfn._xlws.FILTER('Fleet Master'!$A$2:$A$100, ('Fleet Master'!$G$2:$G$100="Available") * ('Fleet Master'!$A$2:$A$100&lt;&gt;""), "No Cars Available"), _xlfn._xlws.FILTER('Fleet Master'!$A$2:$A$100, ('Fleet Master'!$K$2:$K$100&lt;=$C$3) * ('Fleet Master'!$G$2:$G$100&lt;&gt;"Out of Service") * ('Fleet Master'!$G$2:$G$100&lt;&gt;"Maintenance") * ('Fleet Master'!$A$2:$A$100&lt;&gt;""), "No Cars Available"))</f>
        <v>C001</v>
      </c>
      <c r="B11" s="14" t="str" cm="1">
        <f t="array" aca="1" ref="B11:B25" ca="1">IF($C$3="", _xlfn._xlws.FILTER('Fleet Master'!$B$2:$B$100, ('Fleet Master'!$G$2:$G$100="Available") * ('Fleet Master'!$A$2:$A$100&lt;&gt;""), ""), _xlfn._xlws.FILTER('Fleet Master'!$B$2:$B$100, ('Fleet Master'!$K$2:$K$100&lt;=$C$3) * ('Fleet Master'!$G$2:$G$100&lt;&gt;"Out of Service") * ('Fleet Master'!$G$2:$G$100&lt;&gt;"Maintenance") * ('Fleet Master'!$A$2:$A$100&lt;&gt;""), ""))</f>
        <v>Jetta OL</v>
      </c>
      <c r="C11" s="14" t="str" cm="1">
        <f t="array" aca="1" ref="C11:C25" ca="1">IF($C$3="", _xlfn._xlws.FILTER('Fleet Master'!$E$2:$E$100, ('Fleet Master'!$G$2:$G$100="Available") * ('Fleet Master'!$A$2:$A$100&lt;&gt;""), ""), _xlfn._xlws.FILTER('Fleet Master'!$E$2:$E$100, ('Fleet Master'!$K$2:$K$100&lt;=$C$3) * ('Fleet Master'!$G$2:$G$100&lt;&gt;"Out of Service") * ('Fleet Master'!$G$2:$G$100&lt;&gt;"Maintenance") * ('Fleet Master'!$A$2:$A$100&lt;&gt;""), ""))</f>
        <v>FÜME</v>
      </c>
      <c r="D11" s="14" t="str" cm="1">
        <f t="array" aca="1" ref="D11:D25" ca="1">IF($C$3="", _xlfn._xlws.FILTER('Fleet Master'!$D$2:$D$100, ('Fleet Master'!$G$2:$G$100="Available") * ('Fleet Master'!$A$2:$A$100&lt;&gt;""), ""), _xlfn._xlws.FILTER('Fleet Master'!$D$2:$D$100, ('Fleet Master'!$K$2:$K$100&lt;=$C$3) * ('Fleet Master'!$G$2:$G$100&lt;&gt;"Out of Service") * ('Fleet Master'!$G$2:$G$100&lt;&gt;"Maintenance") * ('Fleet Master'!$A$2:$A$100&lt;&gt;""), ""))</f>
        <v>AB069 OL</v>
      </c>
      <c r="E11" s="14" cm="1">
        <f t="array" aca="1" ref="E11:E25" ca="1">IF($C$3="", _xlfn._xlws.FILTER('Fleet Master'!$M$2:$M$100, ('Fleet Master'!$G$2:$G$100="Available") * ('Fleet Master'!$A$2:$A$100&lt;&gt;""), ""), _xlfn._xlws.FILTER('Fleet Master'!$M$2:$M$100, ('Fleet Master'!$K$2:$K$100&lt;=$C$3) * ('Fleet Master'!$G$2:$G$100&lt;&gt;"Out of Service") * ('Fleet Master'!$G$2:$G$100&lt;&gt;"Maintenance") * ('Fleet Master'!$A$2:$A$100&lt;&gt;""), ""))</f>
        <v>30</v>
      </c>
      <c r="F11" s="14" cm="1">
        <f t="array" aca="1" ref="F11:F25" ca="1">IF(OR(A11="No Cars Available", $C$5=""), "",_xlfn.ANCHORARRAY( E11) * $C$4)</f>
        <v>150</v>
      </c>
    </row>
    <row r="12" spans="1:6" ht="25.8">
      <c r="A12" s="14" t="str">
        <f ca="1"/>
        <v>C002</v>
      </c>
      <c r="B12" s="14" t="str">
        <f ca="1"/>
        <v>Jetta SA</v>
      </c>
      <c r="C12" s="14" t="str">
        <f ca="1"/>
        <v>GRI</v>
      </c>
      <c r="D12" s="14" t="str">
        <f ca="1"/>
        <v>AB853 SA</v>
      </c>
      <c r="E12" s="14">
        <f ca="1"/>
        <v>30</v>
      </c>
      <c r="F12" s="14">
        <f ca="1"/>
        <v>150</v>
      </c>
    </row>
    <row r="13" spans="1:6" ht="25.8">
      <c r="A13" s="14" t="str">
        <f ca="1"/>
        <v>C003</v>
      </c>
      <c r="B13" s="14" t="str">
        <f ca="1"/>
        <v>Polo</v>
      </c>
      <c r="C13" s="14" t="str">
        <f ca="1"/>
        <v>BEYAZ</v>
      </c>
      <c r="D13" s="14" t="str">
        <f ca="1"/>
        <v>AB027UH</v>
      </c>
      <c r="E13" s="14">
        <f ca="1"/>
        <v>30</v>
      </c>
      <c r="F13" s="14">
        <f ca="1"/>
        <v>150</v>
      </c>
    </row>
    <row r="14" spans="1:6" ht="25.8">
      <c r="A14" s="14" t="str">
        <f ca="1"/>
        <v>C004</v>
      </c>
      <c r="B14" s="14" t="str">
        <f ca="1"/>
        <v>Tiquan</v>
      </c>
      <c r="C14" s="14" t="str">
        <f ca="1"/>
        <v>SİYAH</v>
      </c>
      <c r="D14" s="14" t="str">
        <f ca="1"/>
        <v>AB034UH</v>
      </c>
      <c r="E14" s="14">
        <f ca="1"/>
        <v>30</v>
      </c>
      <c r="F14" s="14">
        <f ca="1"/>
        <v>150</v>
      </c>
    </row>
    <row r="15" spans="1:6" ht="25.8">
      <c r="A15" s="14" t="str">
        <f ca="1"/>
        <v>C005</v>
      </c>
      <c r="B15" s="14" t="str">
        <f ca="1"/>
        <v>Toura 6Ri</v>
      </c>
      <c r="C15" s="14" t="str">
        <f ca="1"/>
        <v>FÜME</v>
      </c>
      <c r="D15" s="14" t="str">
        <f ca="1"/>
        <v>AB-KE</v>
      </c>
      <c r="E15" s="14">
        <f ca="1"/>
        <v>40</v>
      </c>
      <c r="F15" s="14">
        <f ca="1"/>
        <v>200</v>
      </c>
    </row>
    <row r="16" spans="1:6" ht="25.8">
      <c r="A16" s="14" t="str">
        <f ca="1"/>
        <v>C006</v>
      </c>
      <c r="B16" s="14" t="str">
        <f ca="1"/>
        <v>Opel (Manual)</v>
      </c>
      <c r="C16" s="14" t="str">
        <f ca="1"/>
        <v>KAHVE</v>
      </c>
      <c r="D16" s="14" t="str">
        <f ca="1"/>
        <v>AB992PD</v>
      </c>
      <c r="E16" s="14">
        <f ca="1"/>
        <v>40</v>
      </c>
      <c r="F16" s="14">
        <f ca="1"/>
        <v>200</v>
      </c>
    </row>
    <row r="17" spans="1:6" ht="25.8">
      <c r="A17" s="14" t="str">
        <f ca="1"/>
        <v>C007</v>
      </c>
      <c r="B17" s="22" t="str">
        <f ca="1"/>
        <v>Touran 7Person</v>
      </c>
      <c r="C17" s="22" t="str">
        <f ca="1"/>
        <v>SİYAH</v>
      </c>
      <c r="D17" s="22" t="str">
        <f ca="1"/>
        <v>AB-GF</v>
      </c>
      <c r="E17" s="22">
        <f ca="1"/>
        <v>40</v>
      </c>
      <c r="F17">
        <f ca="1"/>
        <v>200</v>
      </c>
    </row>
    <row r="18" spans="1:6" ht="25.8">
      <c r="A18" s="14" t="str">
        <f ca="1"/>
        <v>C008</v>
      </c>
      <c r="B18" s="22" t="str">
        <f ca="1"/>
        <v>Touran 7Person</v>
      </c>
      <c r="C18" s="22" t="str">
        <f ca="1"/>
        <v>SİYAH</v>
      </c>
      <c r="D18" s="22" t="str">
        <f ca="1"/>
        <v>AB-GF</v>
      </c>
      <c r="E18" s="22">
        <f ca="1"/>
        <v>40</v>
      </c>
      <c r="F18">
        <f ca="1"/>
        <v>200</v>
      </c>
    </row>
    <row r="19" spans="1:6" ht="25.8">
      <c r="A19" s="14" t="str">
        <f ca="1"/>
        <v>C009</v>
      </c>
      <c r="B19" s="22" t="str">
        <f ca="1"/>
        <v>Touran 7Person</v>
      </c>
      <c r="C19" s="22" t="str">
        <f ca="1"/>
        <v>MAVİ</v>
      </c>
      <c r="D19" s="22" t="str">
        <f ca="1"/>
        <v>AB-ZR</v>
      </c>
      <c r="E19" s="22">
        <f ca="1"/>
        <v>0</v>
      </c>
      <c r="F19">
        <f ca="1"/>
        <v>0</v>
      </c>
    </row>
    <row r="20" spans="1:6" ht="25.8">
      <c r="A20" s="14" t="str">
        <f ca="1"/>
        <v>C010</v>
      </c>
      <c r="B20" s="22">
        <f ca="1"/>
        <v>0</v>
      </c>
      <c r="C20" s="22">
        <f ca="1"/>
        <v>0</v>
      </c>
      <c r="D20" s="22">
        <f ca="1"/>
        <v>0</v>
      </c>
      <c r="E20" s="22">
        <f ca="1"/>
        <v>0</v>
      </c>
      <c r="F20">
        <f ca="1"/>
        <v>0</v>
      </c>
    </row>
    <row r="21" spans="1:6" ht="25.8">
      <c r="A21" s="14" t="str">
        <f ca="1"/>
        <v>C011</v>
      </c>
      <c r="B21" s="22">
        <f ca="1"/>
        <v>0</v>
      </c>
      <c r="C21" s="22">
        <f ca="1"/>
        <v>0</v>
      </c>
      <c r="D21" s="22">
        <f ca="1"/>
        <v>0</v>
      </c>
      <c r="E21" s="22">
        <f ca="1"/>
        <v>0</v>
      </c>
      <c r="F21">
        <f ca="1"/>
        <v>0</v>
      </c>
    </row>
    <row r="22" spans="1:6" ht="25.8">
      <c r="A22" s="14" t="str">
        <f ca="1"/>
        <v>C012</v>
      </c>
      <c r="B22" s="22">
        <f ca="1"/>
        <v>0</v>
      </c>
      <c r="C22" s="22">
        <f ca="1"/>
        <v>0</v>
      </c>
      <c r="D22" s="22">
        <f ca="1"/>
        <v>0</v>
      </c>
      <c r="E22" s="22">
        <f ca="1"/>
        <v>0</v>
      </c>
      <c r="F22">
        <f ca="1"/>
        <v>0</v>
      </c>
    </row>
    <row r="23" spans="1:6" ht="25.8">
      <c r="A23" s="14" t="str">
        <f ca="1"/>
        <v>C013</v>
      </c>
      <c r="B23" s="22">
        <f ca="1"/>
        <v>0</v>
      </c>
      <c r="C23" s="22">
        <f ca="1"/>
        <v>0</v>
      </c>
      <c r="D23" s="22">
        <f ca="1"/>
        <v>0</v>
      </c>
      <c r="E23" s="22">
        <f ca="1"/>
        <v>0</v>
      </c>
      <c r="F23">
        <f ca="1"/>
        <v>0</v>
      </c>
    </row>
    <row r="24" spans="1:6" ht="25.8">
      <c r="A24" s="14" t="str">
        <f ca="1"/>
        <v>C014</v>
      </c>
      <c r="B24" s="22">
        <f ca="1"/>
        <v>0</v>
      </c>
      <c r="C24" s="22">
        <f ca="1"/>
        <v>0</v>
      </c>
      <c r="D24" s="22">
        <f ca="1"/>
        <v>0</v>
      </c>
      <c r="E24" s="22">
        <f ca="1"/>
        <v>0</v>
      </c>
      <c r="F24">
        <f ca="1"/>
        <v>0</v>
      </c>
    </row>
    <row r="25" spans="1:6" ht="25.8">
      <c r="A25" s="14" t="str">
        <f ca="1"/>
        <v>C015</v>
      </c>
      <c r="B25" s="22">
        <f ca="1"/>
        <v>0</v>
      </c>
      <c r="C25" s="22">
        <f ca="1"/>
        <v>0</v>
      </c>
      <c r="D25" s="22">
        <f ca="1"/>
        <v>0</v>
      </c>
      <c r="E25" s="22">
        <f ca="1"/>
        <v>0</v>
      </c>
      <c r="F25">
        <f ca="1"/>
        <v>0</v>
      </c>
    </row>
    <row r="26" spans="1:6" ht="25.8">
      <c r="A26" s="14"/>
      <c r="B26" s="22"/>
      <c r="C26" s="22"/>
      <c r="D26" s="22"/>
      <c r="E26" s="22"/>
    </row>
    <row r="27" spans="1:6" ht="25.8">
      <c r="A27" s="14"/>
      <c r="B27" s="22"/>
      <c r="C27" s="22"/>
      <c r="D27" s="22"/>
      <c r="E27" s="22"/>
    </row>
    <row r="28" spans="1:6" ht="25.8">
      <c r="A28" s="14"/>
      <c r="B28" s="22"/>
      <c r="C28" s="22"/>
      <c r="D28" s="22"/>
      <c r="E28" s="22"/>
    </row>
    <row r="29" spans="1:6" ht="25.8">
      <c r="A29" s="14"/>
      <c r="B29" s="22"/>
      <c r="C29" s="22"/>
      <c r="D29" s="22"/>
      <c r="E29" s="22"/>
    </row>
    <row r="30" spans="1:6" ht="25.8">
      <c r="A30" s="14"/>
      <c r="B30" s="22"/>
      <c r="C30" s="22"/>
      <c r="D30" s="22"/>
      <c r="E30" s="22"/>
    </row>
    <row r="31" spans="1:6" ht="25.8">
      <c r="A31" s="14"/>
      <c r="B31" s="22"/>
      <c r="C31" s="22"/>
      <c r="D31" s="22"/>
      <c r="E31" s="22"/>
    </row>
    <row r="32" spans="1:6" ht="25.8">
      <c r="A32" s="14"/>
      <c r="B32" s="22"/>
      <c r="C32" s="22"/>
      <c r="D32" s="22"/>
      <c r="E32" s="22"/>
    </row>
    <row r="33" spans="1:5" ht="25.8">
      <c r="A33" s="14"/>
      <c r="B33" s="22"/>
      <c r="C33" s="22"/>
      <c r="D33" s="22"/>
      <c r="E33" s="22"/>
    </row>
    <row r="34" spans="1:5" ht="25.8">
      <c r="A34" s="14"/>
      <c r="B34" s="22"/>
      <c r="C34" s="22"/>
      <c r="D34" s="22"/>
      <c r="E34" s="22"/>
    </row>
    <row r="35" spans="1:5" ht="25.8">
      <c r="A35" s="14"/>
      <c r="B35" s="22"/>
      <c r="C35" s="22"/>
      <c r="D35" s="22"/>
      <c r="E35" s="22"/>
    </row>
    <row r="36" spans="1:5" ht="25.8">
      <c r="A36" s="14"/>
      <c r="B36" s="22"/>
      <c r="C36" s="22"/>
      <c r="D36" s="22"/>
      <c r="E36" s="22"/>
    </row>
    <row r="37" spans="1:5" ht="25.8">
      <c r="A37" s="14"/>
      <c r="B37" s="22"/>
      <c r="C37" s="22"/>
      <c r="D37" s="22"/>
      <c r="E37" s="22"/>
    </row>
    <row r="38" spans="1:5" ht="25.8">
      <c r="A38" s="14"/>
      <c r="B38" s="22"/>
      <c r="C38" s="22"/>
      <c r="D38" s="22"/>
      <c r="E38" s="22"/>
    </row>
    <row r="39" spans="1:5" ht="25.8">
      <c r="A39" s="14"/>
      <c r="B39" s="22"/>
      <c r="C39" s="22"/>
      <c r="D39" s="22"/>
      <c r="E39" s="22"/>
    </row>
    <row r="40" spans="1:5" ht="25.8">
      <c r="A40" s="14"/>
      <c r="B40" s="22"/>
      <c r="C40" s="22"/>
      <c r="D40" s="22"/>
      <c r="E40" s="22"/>
    </row>
    <row r="41" spans="1:5" ht="25.8">
      <c r="A41" s="14"/>
      <c r="B41" s="22"/>
      <c r="C41" s="22"/>
      <c r="D41" s="22"/>
      <c r="E41" s="22"/>
    </row>
    <row r="42" spans="1:5" ht="25.8">
      <c r="A42" s="14"/>
      <c r="B42" s="22"/>
      <c r="C42" s="22"/>
      <c r="D42" s="22"/>
      <c r="E42" s="22"/>
    </row>
    <row r="43" spans="1:5" ht="25.8">
      <c r="A43" s="14"/>
      <c r="B43" s="22"/>
      <c r="C43" s="22"/>
      <c r="D43" s="22"/>
      <c r="E43" s="22"/>
    </row>
    <row r="44" spans="1:5" ht="25.8">
      <c r="A44" s="14"/>
      <c r="B44" s="22"/>
      <c r="C44" s="22"/>
      <c r="D44" s="22"/>
      <c r="E44" s="22"/>
    </row>
    <row r="45" spans="1:5" ht="25.8">
      <c r="A45" s="14"/>
      <c r="B45" s="22"/>
      <c r="C45" s="22"/>
      <c r="D45" s="22"/>
      <c r="E45" s="22"/>
    </row>
    <row r="46" spans="1:5" ht="25.8">
      <c r="A46" s="14"/>
      <c r="B46" s="22"/>
      <c r="C46" s="22"/>
      <c r="D46" s="22"/>
      <c r="E46" s="22"/>
    </row>
    <row r="47" spans="1:5" ht="25.8">
      <c r="A47" s="14"/>
      <c r="B47" s="22"/>
      <c r="C47" s="22"/>
      <c r="D47" s="22"/>
      <c r="E47" s="22"/>
    </row>
  </sheetData>
  <mergeCells count="1">
    <mergeCell ref="A1:F1"/>
  </mergeCells>
  <pageMargins left="0.7" right="0.7" top="0.75" bottom="0.75" header="0.3" footer="0.3"/>
  <pageSetup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Rental Deals Sheet</vt:lpstr>
      <vt:lpstr>Fleet Master</vt:lpstr>
      <vt:lpstr>Landing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Hakhamanesh Karimi</dc:creator>
  <cp:lastModifiedBy>Hakhamanesh Karimi</cp:lastModifiedBy>
  <dcterms:created xsi:type="dcterms:W3CDTF">2026-06-17T05:48:01Z</dcterms:created>
  <dcterms:modified xsi:type="dcterms:W3CDTF">2026-06-18T14:59:49Z</dcterms:modified>
</cp:coreProperties>
</file>